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100" activeTab="1"/>
  </bookViews>
  <sheets>
    <sheet name="并购一期" sheetId="1" r:id="rId1"/>
    <sheet name="浦江一期" sheetId="6" r:id="rId2"/>
    <sheet name="并购三期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<sst xmlns="http://schemas.openxmlformats.org/spreadsheetml/2006/main" count="47" uniqueCount="32">
  <si>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被投企业公司名称</t>
  </si>
  <si>
    <t>2026年3月31日成本(未经审计)</t>
  </si>
  <si>
    <t>2026年3月31日公允价值(未经审计)</t>
  </si>
  <si>
    <t>项目累计退出回收资金</t>
  </si>
  <si>
    <t>备注</t>
  </si>
  <si>
    <t>最后一次回款日期</t>
  </si>
  <si>
    <t>BI股份有限公司</t>
  </si>
  <si>
    <t>GUI有限公司</t>
  </si>
  <si>
    <t>无妨万（上海）有限公司</t>
  </si>
  <si>
    <t>海南微电子股份有限公司</t>
  </si>
  <si>
    <t>上海五一微电子股份有限公司</t>
  </si>
  <si>
    <t>瑞芯微电子股份有限公司</t>
  </si>
  <si>
    <t>wu semi</t>
  </si>
  <si>
    <t>yuno股份有限公司</t>
  </si>
  <si>
    <t>teawana</t>
  </si>
  <si>
    <t>仅分红</t>
  </si>
  <si>
    <t>上海zh科技有限公司</t>
  </si>
  <si>
    <t>上海遛弯电子股份有限公司</t>
  </si>
  <si>
    <t>翱捷科技股份有限公司</t>
  </si>
  <si>
    <t>合计</t>
  </si>
  <si>
    <t xml:space="preserve">  G有限公司</t>
  </si>
  <si>
    <t>并购一期</t>
  </si>
  <si>
    <t>项目退出回收资金</t>
  </si>
  <si>
    <t>BY有限公司</t>
  </si>
  <si>
    <t>XC有限公司</t>
  </si>
  <si>
    <t>GDZW股份有限公司</t>
  </si>
  <si>
    <t>GM有限公司</t>
  </si>
  <si>
    <t>HJ有限公司</t>
  </si>
  <si>
    <t>XH有限公司</t>
  </si>
  <si>
    <t>DZ 有限公司</t>
  </si>
  <si>
    <t>利息收入</t>
  </si>
  <si>
    <t>BB  International Holding Limited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</si>
</sst>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3" formatCode="_(* #,##0.00_);_(* \(#,##0.00\);_(* &quot;-&quot;??_);_(@_)"/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&quot;年&quot;m&quot;月&quot;d&quot;日&quot;;@"/>
  </numFmts>
  <fonts count="27">
    <font>
      <sz val="11"/>
      <color theme="1"/>
      <name val="Calibri"/>
      <charset val="134"/>
      <scheme val="minor"/>
    </font>
    <font>
      <b/>
      <sz val="11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Arial"/>
      <charset val="134"/>
    </font>
    <font>
      <sz val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43" fontId="25" fillId="0" borderId="0" applyFont="0" applyFill="0" applyBorder="0" applyAlignment="0" applyProtection="0"/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0" fillId="0" borderId="0">
      <alignment vertical="center"/>
      <protection locked="0"/>
    </xf>
    <xf numFmtId="176" fontId="0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0" fillId="2" borderId="0" xfId="0" applyFill="1"/>
    <xf numFmtId="0" fontId="1" fillId="0" borderId="0" xfId="0" applyFont="1" applyAlignment="1" applyProtection="1">
      <alignment horizontal="center" vertical="center"/>
      <protection locked="0"/>
    </xf>
    <xf numFmtId="176" fontId="2" fillId="0" borderId="0" xfId="1" applyFont="1" applyFill="1" applyAlignment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76" fontId="2" fillId="0" borderId="1" xfId="1" applyFont="1" applyFill="1" applyBorder="1" applyAlignment="1" applyProtection="1">
      <protection locked="0"/>
    </xf>
    <xf numFmtId="0" fontId="3" fillId="0" borderId="1" xfId="0" applyFont="1" applyBorder="1" applyAlignment="1" applyProtection="1">
      <alignment vertical="center"/>
      <protection locked="0"/>
    </xf>
    <xf numFmtId="176" fontId="3" fillId="0" borderId="1" xfId="1" applyFont="1" applyFill="1" applyBorder="1" applyAlignment="1">
      <alignment vertical="center"/>
    </xf>
    <xf numFmtId="180" fontId="0" fillId="0" borderId="1" xfId="0" applyNumberFormat="1" applyBorder="1"/>
    <xf numFmtId="176" fontId="0" fillId="0" borderId="0" xfId="0" applyNumberFormat="1"/>
    <xf numFmtId="0" fontId="3" fillId="2" borderId="1" xfId="0" applyFont="1" applyFill="1" applyBorder="1" applyAlignment="1" applyProtection="1">
      <alignment vertical="center"/>
      <protection locked="0"/>
    </xf>
    <xf numFmtId="176" fontId="3" fillId="2" borderId="1" xfId="1" applyFont="1" applyFill="1" applyBorder="1" applyAlignment="1">
      <alignment vertical="center"/>
    </xf>
    <xf numFmtId="180" fontId="0" fillId="2" borderId="1" xfId="0" applyNumberFormat="1" applyFill="1" applyBorder="1"/>
    <xf numFmtId="176" fontId="0" fillId="2" borderId="0" xfId="0" applyNumberFormat="1" applyFill="1"/>
    <xf numFmtId="176" fontId="1" fillId="0" borderId="1" xfId="1" applyFont="1" applyFill="1" applyBorder="1" applyAlignment="1">
      <alignment vertical="center"/>
    </xf>
    <xf numFmtId="0" fontId="0" fillId="0" borderId="1" xfId="0" applyBorder="1"/>
    <xf numFmtId="4" fontId="0" fillId="0" borderId="0" xfId="0" applyNumberFormat="1"/>
    <xf numFmtId="0" fontId="2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176" fontId="4" fillId="0" borderId="1" xfId="1" applyFont="1" applyFill="1" applyBorder="1" applyAlignment="1" applyProtection="1">
      <protection locked="0"/>
    </xf>
    <xf numFmtId="180" fontId="4" fillId="0" borderId="1" xfId="1" applyNumberFormat="1" applyFont="1" applyFill="1" applyBorder="1" applyAlignment="1" applyProtection="1">
      <protection locked="0"/>
    </xf>
    <xf numFmtId="0" fontId="0" fillId="0" borderId="0" xfId="0" applyAlignment="1">
      <alignment horizontal="right"/>
    </xf>
    <xf numFmtId="0" fontId="0" fillId="2" borderId="1" xfId="0" applyFill="1" applyBorder="1" applyProtection="1">
      <protection locked="0"/>
    </xf>
    <xf numFmtId="176" fontId="0" fillId="2" borderId="1" xfId="1" applyFont="1" applyFill="1" applyBorder="1" applyAlignment="1" applyProtection="1">
      <protection locked="0"/>
    </xf>
    <xf numFmtId="176" fontId="0" fillId="2" borderId="1" xfId="1" applyFont="1" applyFill="1" applyBorder="1" applyAlignment="1"/>
    <xf numFmtId="176" fontId="5" fillId="2" borderId="1" xfId="1" applyFont="1" applyFill="1" applyBorder="1" applyAlignment="1"/>
    <xf numFmtId="0" fontId="0" fillId="0" borderId="1" xfId="0" applyBorder="1" applyProtection="1">
      <protection locked="0"/>
    </xf>
    <xf numFmtId="176" fontId="0" fillId="0" borderId="1" xfId="1" applyFont="1" applyFill="1" applyBorder="1" applyAlignment="1" applyProtection="1">
      <protection locked="0"/>
    </xf>
    <xf numFmtId="176" fontId="0" fillId="0" borderId="1" xfId="1" applyFont="1" applyFill="1" applyBorder="1" applyAlignment="1"/>
    <xf numFmtId="176" fontId="5" fillId="0" borderId="1" xfId="1" applyFont="1" applyFill="1" applyBorder="1" applyAlignment="1"/>
    <xf numFmtId="176" fontId="0" fillId="0" borderId="1" xfId="1" applyFont="1" applyBorder="1" applyAlignment="1" applyProtection="1">
      <protection locked="0"/>
    </xf>
    <xf numFmtId="176" fontId="0" fillId="0" borderId="1" xfId="1" applyFont="1" applyBorder="1" applyAlignment="1"/>
    <xf numFmtId="176" fontId="5" fillId="0" borderId="1" xfId="1" applyFont="1" applyFill="1" applyBorder="1" applyAlignment="1">
      <alignment horizontal="center" vertical="center"/>
    </xf>
    <xf numFmtId="176" fontId="0" fillId="0" borderId="1" xfId="1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right" vertical="center"/>
    </xf>
    <xf numFmtId="176" fontId="5" fillId="0" borderId="1" xfId="1" applyFont="1" applyBorder="1" applyAlignment="1"/>
    <xf numFmtId="0" fontId="3" fillId="0" borderId="1" xfId="0" applyFont="1" applyBorder="1" applyProtection="1">
      <protection locked="0"/>
    </xf>
    <xf numFmtId="0" fontId="4" fillId="0" borderId="1" xfId="0" applyFont="1" applyBorder="1" applyAlignment="1" applyProtection="1" quotePrefix="1">
      <alignment horizontal="center"/>
      <protection locked="0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3" xfId="49"/>
    <cellStyle name="常规 2" xfId="50"/>
    <cellStyle name="常规 2 2" xfId="51"/>
    <cellStyle name="常规 3" xfId="52"/>
    <cellStyle name="常规 3 2" xfId="53"/>
    <cellStyle name="常规 4" xfId="54"/>
    <cellStyle name="千位分隔 2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3:G21"/>
  <sheetViews>
    <sheetView zoomScale="90" zoomScaleNormal="90" workbookViewId="0">
      <selection activeCell="D21" sqref="D21"/>
    </sheetView>
  </sheetViews>
  <sheetFormatPr defaultColWidth="9" defaultRowHeight="16.8" outlineLevelCol="6"/>
  <cols>
    <col min="1" max="1" width="41.4140625" customWidth="1"/>
    <col min="2" max="2" width="28.25" customWidth="1"/>
    <col min="3" max="3" width="32" customWidth="1"/>
    <col min="4" max="4" width="20.6640625" customWidth="1"/>
    <col min="5" max="5" width="21.0859375" customWidth="1"/>
    <col min="6" max="6" width="15" customWidth="1"/>
    <col min="7" max="7" width="20.3359375" customWidth="1"/>
    <col min="8" max="8" width="15" customWidth="1"/>
  </cols>
  <sheetData>
    <row r="3" spans="1:7">
      <c r="A3" s="17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="1" customFormat="1" spans="1:7">
      <c r="A4" s="22" t="s">
        <v>6</v>
      </c>
      <c r="B4" s="23">
        <v>41453</v>
      </c>
      <c r="C4" s="24">
        <v>138932.9</v>
      </c>
      <c r="D4" s="25">
        <v>300000</v>
      </c>
      <c r="E4" s="24"/>
      <c r="F4" s="12">
        <v>46112</v>
      </c>
    </row>
    <row r="5" spans="1:7">
      <c r="A5" s="26" t="s">
        <v>7</v>
      </c>
      <c r="B5" s="27">
        <v>0</v>
      </c>
      <c r="C5" s="28">
        <v>0</v>
      </c>
      <c r="D5" s="29">
        <v>751621.46</v>
      </c>
      <c r="E5" s="28"/>
      <c r="F5" s="8">
        <v>46007</v>
      </c>
    </row>
    <row r="6" s="1" customFormat="1" spans="1:7">
      <c r="A6" s="22" t="s">
        <v>8</v>
      </c>
      <c r="B6" s="23">
        <v>6047</v>
      </c>
      <c r="C6" s="24">
        <v>22191.4</v>
      </c>
      <c r="D6" s="25">
        <v>2075.02</v>
      </c>
      <c r="E6" s="24"/>
      <c r="F6" s="12">
        <v>46081</v>
      </c>
    </row>
    <row r="7" spans="1:7">
      <c r="A7" s="26" t="s">
        <v>9</v>
      </c>
      <c r="B7" s="30">
        <v>0</v>
      </c>
      <c r="C7" s="31">
        <v>0</v>
      </c>
      <c r="D7" s="32">
        <v>68563.3</v>
      </c>
      <c r="E7" s="33"/>
      <c r="F7" s="34">
        <v>45975</v>
      </c>
    </row>
    <row r="8" s="1" customFormat="1" spans="1:7">
      <c r="A8" s="22" t="s">
        <v>10</v>
      </c>
      <c r="B8" s="23">
        <v>3112</v>
      </c>
      <c r="C8" s="24">
        <v>1211.5724</v>
      </c>
      <c r="D8" s="25">
        <v>1095.457602</v>
      </c>
      <c r="E8" s="24"/>
      <c r="F8" s="12">
        <v>46112</v>
      </c>
    </row>
    <row r="9" spans="1:7">
      <c r="A9" s="26" t="s">
        <v>11</v>
      </c>
      <c r="B9" s="30">
        <v>0</v>
      </c>
      <c r="C9" s="31">
        <v>0</v>
      </c>
      <c r="D9" s="35">
        <v>119079</v>
      </c>
      <c r="E9" s="31"/>
      <c r="F9" s="8">
        <v>45808</v>
      </c>
      <c r="G9" s="16"/>
    </row>
    <row r="10" spans="1:7">
      <c r="A10" s="26" t="s">
        <v>12</v>
      </c>
      <c r="B10" s="30">
        <v>1900</v>
      </c>
      <c r="C10" s="31">
        <v>560</v>
      </c>
      <c r="D10" s="31">
        <v>0</v>
      </c>
      <c r="E10" s="31"/>
      <c r="F10" s="8"/>
    </row>
    <row r="11" spans="1:7">
      <c r="A11" s="36" t="s">
        <v>13</v>
      </c>
      <c r="B11" s="30">
        <v>8950.7</v>
      </c>
      <c r="C11" s="31">
        <v>19129.741195</v>
      </c>
      <c r="D11" s="31">
        <v>10794.60013</v>
      </c>
      <c r="E11" s="31"/>
      <c r="F11" s="8">
        <v>45980</v>
      </c>
    </row>
    <row r="12" s="1" customFormat="1" spans="1:7">
      <c r="A12" s="22" t="s">
        <v>14</v>
      </c>
      <c r="B12" s="23">
        <v>11625</v>
      </c>
      <c r="C12" s="24">
        <v>148223.67736</v>
      </c>
      <c r="D12" s="24">
        <f>14108000/10000</f>
        <v>1410.8</v>
      </c>
      <c r="E12" s="24" t="s">
        <v>15</v>
      </c>
      <c r="F12" s="12">
        <v>45923</v>
      </c>
    </row>
    <row r="13" spans="1:7">
      <c r="A13" s="26" t="s">
        <v>16</v>
      </c>
      <c r="B13" s="30">
        <v>7500</v>
      </c>
      <c r="C13" s="31">
        <v>13577.572683</v>
      </c>
      <c r="D13" s="31">
        <v>0</v>
      </c>
      <c r="E13" s="31"/>
      <c r="F13" s="8"/>
    </row>
    <row r="14" spans="1:7">
      <c r="A14" s="26" t="s">
        <v>17</v>
      </c>
      <c r="B14" s="30">
        <v>2250</v>
      </c>
      <c r="C14" s="31">
        <v>22857.593505</v>
      </c>
      <c r="D14" s="31">
        <v>876.360375</v>
      </c>
      <c r="E14" s="31" t="s">
        <v>15</v>
      </c>
      <c r="F14" s="8">
        <v>46099</v>
      </c>
    </row>
    <row r="15" s="1" customFormat="1" hidden="1" spans="1:7">
      <c r="A15" s="22" t="s">
        <v>18</v>
      </c>
      <c r="B15" s="23">
        <v>1319.977904</v>
      </c>
      <c r="C15" s="24">
        <v>3323.171608</v>
      </c>
      <c r="D15" s="24">
        <v>61932.914147</v>
      </c>
      <c r="E15" s="24"/>
      <c r="F15" s="12">
        <v>46112</v>
      </c>
    </row>
    <row r="16" spans="1:7">
      <c r="A16" s="26" t="s">
        <v>19</v>
      </c>
      <c r="B16" s="31">
        <f>SUM(B4:B15)</f>
        <v>84157.677904</v>
      </c>
      <c r="C16" s="31">
        <f>SUM(C4:C15)</f>
        <v>370007.628751</v>
      </c>
      <c r="D16" s="31">
        <f>SUM(D4:D15)</f>
        <v>1317448.912254</v>
      </c>
      <c r="E16" s="31"/>
      <c r="F16" s="8"/>
    </row>
    <row r="17" spans="4:4">
      <c r="D17" s="9"/>
    </row>
    <row r="18" spans="4:4">
      <c r="D18" s="9"/>
    </row>
    <row r="19" spans="4:4">
      <c r="D19" s="9"/>
    </row>
    <row r="20" spans="4:4">
      <c r="D20" s="9"/>
    </row>
    <row r="21" spans="4:4">
      <c r="D21" s="9"/>
    </row>
  </sheetData>
  <pageMargins left="0.7" right="0.7" top="0.75" bottom="0.75" header="0.3" footer="0.3"/>
  <pageSetup paperSize="9" scale="66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5" tint="0.8"/>
  </sheetPr>
  <dimension ref="A2:F9"/>
  <sheetViews>
    <sheetView tabSelected="1" workbookViewId="0">
      <selection activeCell="D5" sqref="D5"/>
    </sheetView>
  </sheetViews>
  <sheetFormatPr defaultColWidth="9" defaultRowHeight="16.8" outlineLevelCol="5"/>
  <cols>
    <col min="1" max="1" width="39" customWidth="1"/>
    <col min="2" max="2" width="30.0859375" customWidth="1"/>
    <col min="3" max="3" width="34" customWidth="1"/>
    <col min="4" max="4" width="22.0859375" customWidth="1"/>
    <col min="5" max="5" width="16.8359375" customWidth="1"/>
    <col min="6" max="6" width="16.25" customWidth="1"/>
  </cols>
  <sheetData>
    <row r="2" spans="1:6">
      <c r="A2" s="17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>
      <c r="A3" s="37" t="s">
        <v>20</v>
      </c>
      <c r="B3" s="19">
        <v>766.66</v>
      </c>
      <c r="C3" s="19">
        <v>766.66</v>
      </c>
      <c r="D3" s="19">
        <f>2100</f>
        <v>2100</v>
      </c>
      <c r="E3" s="19"/>
      <c r="F3" s="20">
        <v>45996</v>
      </c>
    </row>
    <row r="4" spans="1:6">
      <c r="A4" s="18" t="s">
        <v>21</v>
      </c>
      <c r="B4" s="19">
        <f>2407</f>
        <v>2407</v>
      </c>
      <c r="C4" s="19">
        <f>2407</f>
        <v>2407</v>
      </c>
      <c r="D4" s="19">
        <f>4301</f>
        <v>4301</v>
      </c>
      <c r="E4" s="19"/>
      <c r="F4" s="20">
        <v>46016</v>
      </c>
    </row>
    <row r="5" spans="1:6">
      <c r="A5" s="18" t="s">
        <v>19</v>
      </c>
      <c r="B5" s="19">
        <f>SUM(B3:B4)</f>
        <v>3173.66</v>
      </c>
      <c r="C5" s="19">
        <f>SUM(C3:C4)</f>
        <v>3173.66</v>
      </c>
      <c r="D5" s="19">
        <f>SUM(D3:D4)</f>
        <v>6401</v>
      </c>
      <c r="E5" s="19"/>
      <c r="F5" s="20"/>
    </row>
    <row r="7" spans="1:6">
      <c r="C7" s="21"/>
      <c r="D7" s="9"/>
      <c r="E7" s="9"/>
    </row>
    <row r="8" spans="1:6">
      <c r="C8" s="21"/>
      <c r="D8" s="9"/>
      <c r="E8" s="9"/>
    </row>
    <row r="9" spans="1:6">
      <c r="D9" s="9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22"/>
  <sheetViews>
    <sheetView workbookViewId="0">
      <selection activeCell="D9" sqref="D9"/>
    </sheetView>
  </sheetViews>
  <sheetFormatPr defaultColWidth="9" defaultRowHeight="16.8" outlineLevelCol="7"/>
  <cols>
    <col min="1" max="1" width="47.0859375" customWidth="1"/>
    <col min="2" max="2" width="30.0859375" customWidth="1"/>
    <col min="3" max="3" width="34" customWidth="1"/>
    <col min="4" max="4" width="18.25" customWidth="1"/>
    <col min="5" max="5" width="11" customWidth="1"/>
    <col min="6" max="6" width="16.25" customWidth="1"/>
    <col min="7" max="7" width="14" customWidth="1"/>
    <col min="8" max="8" width="16.25" customWidth="1"/>
  </cols>
  <sheetData>
    <row r="1" spans="1:8">
      <c r="C1" s="2"/>
      <c r="D1" s="3"/>
      <c r="E1" s="3"/>
      <c r="F1" s="3"/>
      <c r="G1" s="3"/>
      <c r="H1" s="3"/>
    </row>
    <row r="2" spans="1:8">
      <c r="A2" s="4" t="s">
        <v>0</v>
      </c>
      <c r="B2" s="5" t="s">
        <v>1</v>
      </c>
      <c r="C2" s="5" t="s">
        <v>2</v>
      </c>
      <c r="D2" s="5" t="s">
        <v>22</v>
      </c>
      <c r="E2" s="5" t="s">
        <v>4</v>
      </c>
      <c r="F2" s="5" t="s">
        <v>5</v>
      </c>
    </row>
    <row r="3" spans="1:8">
      <c r="A3" s="6" t="s">
        <v>23</v>
      </c>
      <c r="B3" s="7">
        <v>502</v>
      </c>
      <c r="C3" s="7">
        <v>1004</v>
      </c>
      <c r="D3" s="7">
        <v>0</v>
      </c>
      <c r="E3" s="7"/>
      <c r="F3" s="8"/>
      <c r="G3" s="9"/>
    </row>
    <row r="4" spans="1:8">
      <c r="A4" s="6" t="s">
        <v>24</v>
      </c>
      <c r="B4" s="7">
        <v>3000</v>
      </c>
      <c r="C4" s="7">
        <v>3000</v>
      </c>
      <c r="D4" s="7">
        <v>0</v>
      </c>
      <c r="E4" s="7"/>
      <c r="F4" s="8"/>
      <c r="G4" s="9"/>
    </row>
    <row r="5" s="1" customFormat="1" spans="1:8">
      <c r="A5" s="10" t="s">
        <v>25</v>
      </c>
      <c r="B5" s="11">
        <v>505.1</v>
      </c>
      <c r="C5" s="11">
        <v>505.1</v>
      </c>
      <c r="D5" s="11">
        <v>0</v>
      </c>
      <c r="E5" s="11"/>
      <c r="F5" s="12"/>
      <c r="G5" s="13"/>
    </row>
    <row r="6" spans="1:8">
      <c r="A6" s="6" t="s">
        <v>26</v>
      </c>
      <c r="B6" s="7">
        <v>2000</v>
      </c>
      <c r="C6" s="7">
        <v>2500</v>
      </c>
      <c r="D6" s="7">
        <v>0</v>
      </c>
      <c r="E6" s="7"/>
      <c r="F6" s="8"/>
      <c r="G6" s="9"/>
    </row>
    <row r="7" spans="1:8">
      <c r="A7" s="6" t="s">
        <v>27</v>
      </c>
      <c r="B7" s="7">
        <v>9000.3</v>
      </c>
      <c r="C7" s="7">
        <v>9000.3</v>
      </c>
      <c r="D7" s="7">
        <v>0</v>
      </c>
      <c r="E7" s="7"/>
      <c r="F7" s="8"/>
      <c r="G7" s="9"/>
    </row>
    <row r="8" spans="1:8">
      <c r="A8" s="6" t="s">
        <v>28</v>
      </c>
      <c r="B8" s="7">
        <v>7500</v>
      </c>
      <c r="C8" s="7">
        <v>7500</v>
      </c>
      <c r="D8" s="7">
        <v>0</v>
      </c>
      <c r="E8" s="7"/>
      <c r="F8" s="8"/>
      <c r="G8" s="9"/>
    </row>
    <row r="9" spans="1:8">
      <c r="A9" s="6" t="s">
        <v>29</v>
      </c>
      <c r="B9" s="7">
        <v>3500.1</v>
      </c>
      <c r="C9" s="7">
        <v>3500.1</v>
      </c>
      <c r="D9" s="7">
        <f>285680.67/10000</f>
        <v>28.568067</v>
      </c>
      <c r="E9" s="7" t="s">
        <v>30</v>
      </c>
      <c r="F9" s="8">
        <v>45870</v>
      </c>
      <c r="G9" s="9"/>
    </row>
    <row r="10" s="1" customFormat="1" spans="1:8">
      <c r="A10" s="10" t="s">
        <v>31</v>
      </c>
      <c r="B10" s="11">
        <v>300</v>
      </c>
      <c r="C10" s="11">
        <v>300</v>
      </c>
      <c r="D10" s="11">
        <v>50.4</v>
      </c>
      <c r="E10" s="11" t="s">
        <v>30</v>
      </c>
      <c r="F10" s="12">
        <v>45131</v>
      </c>
      <c r="G10" s="13"/>
    </row>
    <row r="11" spans="1:8">
      <c r="A11" s="4" t="s">
        <v>19</v>
      </c>
      <c r="B11" s="14">
        <f>SUM(B3:B10)</f>
        <v>26307.5</v>
      </c>
      <c r="C11" s="14">
        <f>SUM(C3:C10)</f>
        <v>27309.5</v>
      </c>
      <c r="D11" s="14">
        <f>SUM(D3:D10)</f>
        <v>78.968067</v>
      </c>
      <c r="E11" s="7"/>
      <c r="F11" s="15"/>
      <c r="G11" s="9"/>
    </row>
    <row r="17" spans="3:4">
      <c r="C17" s="16"/>
    </row>
    <row r="18" spans="3:4">
      <c r="C18" s="16"/>
      <c r="D18" s="16"/>
    </row>
    <row r="20" spans="3:4">
      <c r="C20" s="9"/>
    </row>
    <row r="22" spans="3:4">
      <c r="C22" s="1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并购一期</vt:lpstr>
      <vt:lpstr>浦江一期</vt:lpstr>
      <vt:lpstr>并购三期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果果</dc:creator>
  <cp:lastModifiedBy>erichan</cp:lastModifiedBy>
  <dcterms:created xsi:type="dcterms:W3CDTF">2015-06-06T02:19:00Z</dcterms:created>
  <dcterms:modified xsi:type="dcterms:W3CDTF">2026-05-29T14:28:02Z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DFD4FA8067874B81B5F4E9E20D7758FC_13</vt:lpwstr>
  </property>
  <property fmtid="{D5CDD505-2E9C-101B-9397-08002B2CF9AE}" pid="3" name="KSOProductBuildVer">
    <vt:lpwstr>1033-12.1.25895.25895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